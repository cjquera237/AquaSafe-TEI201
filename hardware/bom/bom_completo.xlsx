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5280bc4fc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be62b3857954e55"/>
    <x:sheet xmlns:r="http://schemas.openxmlformats.org/officeDocument/2006/relationships" name="Instrucciones" sheetId="2" r:id="R17897ae5e4704eb8"/>
    <x:sheet xmlns:r="http://schemas.openxmlformats.org/officeDocument/2006/relationships" name="Compra verificada" sheetId="3" r:id="Re41345feb3d44037"/>
    <x:sheet xmlns:r="http://schemas.openxmlformats.org/officeDocument/2006/relationships" name="Compra kit ML" sheetId="4" r:id="Rfc4eef130f784ca0"/>
    <x:sheet xmlns:r="http://schemas.openxmlformats.org/officeDocument/2006/relationships" name="Aportes y costos" sheetId="5" r:id="R6f9739894881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;[Red](&quot;$&quot;#,##0)"/>
    <x:numFmt numFmtId="201" formatCode="#,##0 &quot;CLP&quot;"/>
    <x:numFmt numFmtId="202" formatCode="&quot;$&quot;#,##0;(&quot;$&quot;#,##0)"/>
    <x:numFmt numFmtId="203" formatCode="&quot;$&quot;#,##0"/>
  </x:numFmts>
  <x:fonts count="19">
    <x:font>
      <x:sz val="11"/>
      <x:name val="Carlito"/>
    </x:font>
    <x:font>
      <x:b/>
      <x:sz val="16"/>
      <x:color rgb="FFFFFFFF"/>
      <x:name val="Carlito"/>
    </x:font>
    <x:font>
      <x:sz val="10"/>
      <x:color rgb="FF29445E"/>
      <x:name val="Carlito"/>
    </x:font>
    <x:font>
      <x:i/>
      <x:sz val="10"/>
      <x:color rgb="FF78570A"/>
      <x:name val="Carlito"/>
    </x:font>
    <x:font>
      <x:b/>
      <x:sz val="10"/>
      <x:color rgb="FFFFFFFF"/>
      <x:name val="Carlito"/>
    </x:font>
    <x:font>
      <x:b/>
      <x:sz val="11"/>
      <x:color rgb="FF15334A"/>
      <x:name val="Carlito"/>
    </x:font>
    <x:font>
      <x:i/>
      <x:sz val="11"/>
      <x:color rgb="FF365368"/>
      <x:name val="Carlito"/>
    </x:font>
    <x:font>
      <x:b/>
      <x:sz val="14"/>
      <x:color rgb="FFFFFFFF"/>
      <x:name val="Carlito"/>
    </x:font>
    <x:font>
      <x:b/>
      <x:sz val="11"/>
      <x:color rgb="FF12304B"/>
      <x:name val="Carlito"/>
    </x:font>
    <x:font>
      <x:b/>
      <x:sz val="11"/>
      <x:color rgb="FFFFFFFF"/>
      <x:name val="Carlito"/>
    </x:font>
    <x:font>
      <x:i/>
      <x:sz val="11"/>
      <x:color rgb="FF23415B"/>
      <x:name val="Carlito"/>
    </x:font>
    <x:font>
      <x:b/>
      <x:sz val="11"/>
      <x:color rgb="FF23415B"/>
      <x:name val="Carlito"/>
    </x:font>
    <x:font>
      <x:sz val="11"/>
      <x:color rgb="FF23415B"/>
      <x:name val="Carlito"/>
    </x:font>
    <x:font>
      <x:sz val="11"/>
      <x:color rgb="FF2C516E"/>
      <x:name val="Carlito"/>
    </x:font>
    <x:font>
      <x:b/>
      <x:sz val="11"/>
      <x:color rgb="FF145A40"/>
      <x:name val="Carlito"/>
    </x:font>
    <x:font>
      <x:sz val="11"/>
      <x:color rgb="FF805512"/>
      <x:name val="Carlito"/>
    </x:font>
    <x:font>
      <x:b/>
      <x:sz val="11"/>
      <x:color rgb="FF0A4F44"/>
      <x:name val="Carlito"/>
    </x:font>
    <x:font>
      <x:b/>
      <x:sz val="11"/>
      <x:name val="Carlito"/>
    </x:font>
    <x:font>
      <x:b/>
      <x:sz val="11"/>
      <x:color rgb="FF124F43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2304B"/>
      </x:patternFill>
    </x:fill>
    <x:fill>
      <x:patternFill patternType="solid">
        <x:fgColor rgb="FFE5EDF5"/>
      </x:patternFill>
    </x:fill>
    <x:fill>
      <x:patternFill patternType="solid">
        <x:fgColor rgb="FFFFF3D3"/>
      </x:patternFill>
    </x:fill>
    <x:fill>
      <x:patternFill patternType="solid">
        <x:fgColor rgb="FF1A657A"/>
      </x:patternFill>
    </x:fill>
    <x:fill>
      <x:patternFill patternType="solid">
        <x:fgColor rgb="FFF1F6F9"/>
      </x:patternFill>
    </x:fill>
    <x:fill>
      <x:patternFill patternType="solid">
        <x:fgColor rgb="FFFFF1D5"/>
      </x:patternFill>
    </x:fill>
    <x:fill>
      <x:patternFill patternType="solid">
        <x:fgColor rgb="FFDDECF0"/>
      </x:patternFill>
    </x:fill>
    <x:fill>
      <x:patternFill patternType="solid">
        <x:fgColor rgb="FFEBF3FA"/>
      </x:patternFill>
    </x:fill>
    <x:fill>
      <x:patternFill patternType="solid">
        <x:fgColor rgb="FFDFF6E8"/>
      </x:patternFill>
    </x:fill>
    <x:fill>
      <x:patternFill patternType="solid">
        <x:fgColor rgb="FFE5F5EA"/>
      </x:patternFill>
    </x:fill>
    <x:fill>
      <x:patternFill patternType="solid">
        <x:fgColor rgb="FF15314B"/>
      </x:patternFill>
    </x:fill>
    <x:fill>
      <x:patternFill patternType="solid">
        <x:fgColor rgb="FFE8F1F8"/>
      </x:patternFill>
    </x:fill>
    <x:fill>
      <x:patternFill patternType="solid">
        <x:fgColor rgb="FF176B88"/>
      </x:patternFill>
    </x:fill>
    <x:fill>
      <x:patternFill patternType="solid">
        <x:fgColor rgb="FFF2F8FB"/>
      </x:patternFill>
    </x:fill>
    <x:fill>
      <x:patternFill patternType="solid">
        <x:fgColor rgb="FFD8F1E4"/>
      </x:patternFill>
    </x:fill>
    <x:fill>
      <x:patternFill patternType="solid">
        <x:fgColor rgb="FFFFF4DE"/>
      </x:patternFill>
    </x:fill>
    <x:fill>
      <x:patternFill patternType="solid">
        <x:fgColor rgb="FF143552"/>
      </x:patternFill>
    </x:fill>
    <x:fill>
      <x:patternFill patternType="solid">
        <x:fgColor rgb="FFE5F1EF"/>
      </x:patternFill>
    </x:fill>
    <x:fill>
      <x:patternFill patternType="solid">
        <x:fgColor rgb="FF163652"/>
      </x:patternFill>
    </x:fill>
    <x:fill>
      <x:patternFill patternType="solid">
        <x:fgColor rgb="FFDDEFE9"/>
      </x:patternFill>
    </x:fill>
    <x:fill>
      <x:patternFill patternType="solid">
        <x:fgColor rgb="FF193D5B"/>
      </x:patternFill>
    </x:fill>
  </x:fills>
  <x:borders count="2"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200" fontId="5" fillId="8" borderId="0" xfId="0" applyNumberFormat="1" applyFont="1" applyFill="1" applyBorder="1" applyAlignment="1">
      <x:alignment wrapText="1"/>
    </x:xf>
    <x:xf numFmtId="200" fontId="5" fillId="8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0" fillId="0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15" borderId="0" xfId="0" applyNumberFormat="1" applyFont="1" applyFill="1" applyBorder="1"/>
    <x:xf numFmtId="201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1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201" fontId="0" fillId="16" borderId="0" xfId="0" applyNumberFormat="1" applyFont="1" applyFill="1" applyBorder="1"/>
    <x:xf numFmtId="0" fontId="14" fillId="16" borderId="0" xfId="0" applyNumberFormat="1" applyFont="1" applyFill="1" applyBorder="1"/>
    <x:xf numFmtId="201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vertical="center"/>
    </x:xf>
    <x:xf numFmtId="201" fontId="14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5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202" fontId="0" fillId="19" borderId="0" xfId="0" applyNumberFormat="1" applyFont="1" applyFill="1" applyBorder="1"/>
    <x:xf numFmtId="200" fontId="16" fillId="19" borderId="0" xfId="0" applyNumberFormat="1" applyFont="1" applyFill="1" applyBorder="1" applyAlignment="1">
      <x:alignment wrapText="1"/>
    </x:xf>
    <x:xf numFmtId="0" fontId="16" fillId="19" borderId="0" xfId="0" applyNumberFormat="1" applyFont="1" applyFill="1" applyBorder="1" applyAlignment="1">
      <x:alignment wrapText="1"/>
    </x:xf>
    <x:xf numFmtId="0" fontId="16" fillId="19" borderId="0" xfId="0" applyNumberFormat="1" applyFont="1" applyFill="1" applyBorder="1"/>
    <x:xf numFmtId="202" fontId="16" fillId="19" borderId="0" xfId="0" applyNumberFormat="1" applyFont="1" applyFill="1" applyBorder="1"/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17" fillId="0" borderId="0" xfId="0" applyNumberFormat="1" applyFont="1" applyFill="1" applyBorder="1"/>
    <x:xf numFmtId="0" fontId="17" fillId="21" borderId="0" xfId="0" applyNumberFormat="1" applyFont="1" applyFill="1" applyBorder="1"/>
    <x:xf numFmtId="0" fontId="0" fillId="21" borderId="0" xfId="0" applyNumberFormat="1" applyFont="1" applyFill="1" applyBorder="1" applyAlignment="1">
      <x:alignment wrapText="1"/>
    </x:xf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18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203" fontId="0" fillId="0" borderId="0" xfId="0" applyNumberFormat="1" applyFont="1" applyFill="1" applyBorder="1"/>
    <x:xf numFmtId="203" fontId="16" fillId="1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f9381571643ce" /><Relationship Type="http://schemas.openxmlformats.org/officeDocument/2006/relationships/theme" Target="/xl/theme/theme1.xml" Id="R95998b686e9e4c51" /><Relationship Type="http://schemas.openxmlformats.org/officeDocument/2006/relationships/sharedStrings" Target="/xl/sharedStrings.xml" Id="Ra79a505a094940ab" /><Relationship Type="http://schemas.openxmlformats.org/officeDocument/2006/relationships/worksheet" Target="/xl/worksheets/sheet1.xml" Id="R9be62b3857954e55" /><Relationship Type="http://schemas.openxmlformats.org/officeDocument/2006/relationships/worksheet" Target="/xl/worksheets/sheet2.xml" Id="R17897ae5e4704eb8" /><Relationship Type="http://schemas.openxmlformats.org/officeDocument/2006/relationships/worksheet" Target="/xl/worksheets/sheet3.xml" Id="Re41345feb3d44037" /><Relationship Type="http://schemas.openxmlformats.org/officeDocument/2006/relationships/worksheet" Target="/xl/worksheets/sheet4.xml" Id="Rfc4eef130f784ca0" /><Relationship Type="http://schemas.openxmlformats.org/officeDocument/2006/relationships/worksheet" Target="/xl/worksheets/sheet5.xml" Id="R6f9739894881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43" hidden="0" customWidth="1"/>
    <x:col min="4" max="4" width="25" hidden="0" customWidth="1"/>
    <x:col min="5" max="5" width="30" hidden="0" customWidth="1"/>
    <x:col min="6" max="6" width="19" hidden="0" customWidth="1"/>
    <x:col min="7" max="7" width="20" hidden="0" customWidth="1"/>
    <x:col min="8" max="8" width="20" hidden="0" customWidth="1"/>
    <x:col min="9" max="9" width="46" hidden="0" customWidth="1"/>
    <x:col min="10" max="10" width="34" hidden="0" customWidth="1"/>
    <x:col min="11" max="11" width="22" hidden="0" customWidth="1"/>
  </x:cols>
  <x:sheetData>
    <x:row r="1" ht="32" customHeight="1">
      <x:c r="A1" s="4" t="str">
        <x:v>AQUASAFE  |  BILL OF MATERIALS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9" t="str">
        <x:v>TEI201 · Universidad Adolfo Ibáñez  |  BOM preliminar · 27-10-2026</x:v>
      </x:c>
      <x:c r="B2" s="9"/>
      <x:c r="C2" s="9"/>
      <x:c r="D2" s="9"/>
      <x:c r="E2" s="9"/>
      <x:c r="F2" s="9"/>
      <x:c r="G2" s="9"/>
      <x:c r="H2" s="9"/>
      <x:c r="I2" s="9"/>
    </x:row>
    <x:row r="3" ht="28" customHeight="1">
      <x:c r="A3" s="14" t="str">
        <x:v>Inventario con origen: aportes UAI sin precio de mercado asignado; compras acreditadas por boletas.</x:v>
      </x:c>
      <x:c r="B3" s="14"/>
      <x:c r="C3" s="14" t="str">
        <x:v>El kit de electrónica comprado NO se atribuye al ESP32. Pantalla, TDS, batería y carcasa pendientes.</x:v>
      </x:c>
      <x:c r="D3" s="14"/>
      <x:c r="E3" s="14"/>
      <x:c r="F3" s="14"/>
      <x:c r="G3" s="14"/>
      <x:c r="H3" s="14"/>
      <x:c r="I3" s="14"/>
    </x:row>
    <x:row r="5" ht="31" customHeight="1">
      <x:c r="A5" s="21" t="str">
        <x:v>Cantidad</x:v>
      </x:c>
      <x:c r="B5" s="21" t="str">
        <x:v>Componente</x:v>
      </x:c>
      <x:c r="C5" s="21" t="str">
        <x:v>Especificación</x:v>
      </x:c>
      <x:c r="D5" s="21" t="str">
        <x:v>Fabricante</x:v>
      </x:c>
      <x:c r="E5" s="21" t="str">
        <x:v>Código/SKU</x:v>
      </x:c>
      <x:c r="F5" s="21" t="str">
        <x:v>Proveedor</x:v>
      </x:c>
      <x:c r="G5" s="21" t="str">
        <x:v>Precio Unitario (CLP)</x:v>
      </x:c>
      <x:c r="H5" s="21" t="str">
        <x:v>Precio Total (CLP)</x:v>
      </x:c>
      <x:c r="I5" s="21" t="str">
        <x:v>Datasheet / enlace</x:v>
      </x:c>
      <x:c r="J5" s="102" t="str">
        <x:v>Origen / situación</x:v>
      </x:c>
      <x:c r="K5" s="102" t="str">
        <x:v>Desembolso equipo (CLP)</x:v>
      </x:c>
    </x:row>
    <x:row r="6" ht="43" customHeight="1">
      <x:c r="A6" s="28" t="n">
        <x:v>1</x:v>
      </x:c>
      <x:c r="B6" s="28" t="str">
        <x:v>ESP32 Dev Module</x:v>
      </x:c>
      <x:c r="C6" s="28" t="str">
        <x:v>ESP32, placa de desarrollo; verificar modelo de módulo y número de pines</x:v>
      </x:c>
      <x:c r="D6" s="28" t="str">
        <x:v>Espressif (chip); placa por verificar</x:v>
      </x:c>
      <x:c r="E6" s="28" t="str">
        <x:v>Modelo exacto por verificar</x:v>
      </x:c>
      <x:c r="F6" s="28" t="str">
        <x:v>Universidad Adolfo Ibáñez (aportado)</x:v>
      </x:c>
      <x:c r="G6" s="36"/>
      <x:c r="H6" s="32" t="str">
        <x:f>IF(G6="","",A6*G6)</x:f>
      </x:c>
      <x:c r="I6" s="28" t="str">
        <x:v>https://documentation.espressif.com/esp32-wroom-32_datasheet_en.html</x:v>
      </x:c>
      <x:c r="J6" t="str">
        <x:v>Aporte en especie UAI</x:v>
      </x:c>
      <x:c r="K6" s="103" t="n">
        <x:v>0</x:v>
      </x:c>
    </x:row>
    <x:row r="7" ht="43" customHeight="1">
      <x:c r="A7" s="29" t="n">
        <x:v>1</x:v>
      </x:c>
      <x:c r="B7" s="29" t="str">
        <x:v>Sonda DS18B20</x:v>
      </x:c>
      <x:c r="C7" s="29" t="str">
        <x:v>Sensor de temperatura DS18B20 sumergible; interfaz OneWire</x:v>
      </x:c>
      <x:c r="D7" s="29" t="str">
        <x:v>Analog Devices/Maxim (chip)</x:v>
      </x:c>
      <x:c r="E7" s="29" t="str">
        <x:v>G-232 (SKU MechatronicStore)</x:v>
      </x:c>
      <x:c r="F7" s="68" t="str">
        <x:v>MechatronicStore SpA (Curicó)</x:v>
      </x:c>
      <x:c r="G7" s="70" t="n">
        <x:v>2990</x:v>
      </x:c>
      <x:c r="H7" s="70" t="n">
        <x:f>IF(G7="","",A7*G7)</x:f>
        <x:v>2990</x:v>
      </x:c>
      <x:c r="I7" s="29" t="str">
        <x:v>https://www.analog.com/media/en/technical-documentation/data-sheets/ds18b20.pdf</x:v>
      </x:c>
      <x:c r="J7" t="str">
        <x:v>Compra propia — MechatronicStore</x:v>
      </x:c>
      <x:c r="K7" s="103" t="n">
        <x:f>H7</x:f>
        <x:v>2990</x:v>
      </x:c>
    </x:row>
    <x:row r="8" ht="43" customHeight="1">
      <x:c r="A8" s="28" t="n">
        <x:v>1</x:v>
      </x:c>
      <x:c r="B8" s="28" t="str">
        <x:v>Kit sensor pH</x:v>
      </x:c>
      <x:c r="C8" s="28" t="str">
        <x:v>Kit módulo sensor de pH + sonda electrodo BNC Arduino; variante del módulo por verificar</x:v>
      </x:c>
      <x:c r="D8" s="28" t="str">
        <x:v>Por verificar</x:v>
      </x:c>
      <x:c r="E8" s="28" t="str">
        <x:v>G-006 (SKU MechatronicStore)</x:v>
      </x:c>
      <x:c r="F8" s="68" t="str">
        <x:v>MechatronicStore SpA (Curicó)</x:v>
      </x:c>
      <x:c r="G8" s="70" t="n">
        <x:v>24990</x:v>
      </x:c>
      <x:c r="H8" s="70" t="n">
        <x:f>IF(G8="","",A8*G8)</x:f>
        <x:v>24990</x:v>
      </x:c>
      <x:c r="I8" s="28" t="str">
        <x:v>Por obtener según proveedor</x:v>
      </x:c>
      <x:c r="J8" t="str">
        <x:v>Compra propia — MechatronicStore</x:v>
      </x:c>
      <x:c r="K8" s="103" t="n">
        <x:f>H8</x:f>
        <x:v>24990</x:v>
      </x:c>
    </x:row>
    <x:row r="9" ht="43" customHeight="1">
      <x:c r="A9" s="29" t="n">
        <x:v>1</x:v>
      </x:c>
      <x:c r="B9" s="29" t="str">
        <x:v>Kit sensor de turbidez</x:v>
      </x:c>
      <x:c r="C9" s="29" t="str">
        <x:v>Kit sensor detección de turbidez del agua 3,3–5 V; modelo del módulo por verificar</x:v>
      </x:c>
      <x:c r="D9" s="29" t="str">
        <x:v>Por verificar</x:v>
      </x:c>
      <x:c r="E9" s="29" t="str">
        <x:v>G-008 (SKU MechatronicStore)</x:v>
      </x:c>
      <x:c r="F9" s="68" t="str">
        <x:v>MechatronicStore SpA (Curicó)</x:v>
      </x:c>
      <x:c r="G9" s="70" t="n">
        <x:v>10990</x:v>
      </x:c>
      <x:c r="H9" s="70" t="n">
        <x:f>IF(G9="","",A9*G9)</x:f>
        <x:v>10990</x:v>
      </x:c>
      <x:c r="I9" s="29" t="str">
        <x:v>Por obtener según proveedor</x:v>
      </x:c>
      <x:c r="J9" t="str">
        <x:v>Compra propia — MechatronicStore</x:v>
      </x:c>
      <x:c r="K9" s="103" t="n">
        <x:f>H9</x:f>
        <x:v>10990</x:v>
      </x:c>
    </x:row>
    <x:row r="10" ht="43" customHeight="1">
      <x:c r="A10" s="28" t="n">
        <x:v>1</x:v>
      </x:c>
      <x:c r="B10" s="28" t="str">
        <x:v>Sensor TDS/EC</x:v>
      </x:c>
      <x:c r="C10" s="28" t="str">
        <x:v>Módulo y sonda analógica; especificación por confirmar</x:v>
      </x:c>
      <x:c r="D10" s="28" t="str">
        <x:v>Por verificar</x:v>
      </x:c>
      <x:c r="E10" s="28" t="str">
        <x:v>Por definir</x:v>
      </x:c>
      <x:c r="F10" s="28" t="str">
        <x:v>Pendiente de definir</x:v>
      </x:c>
      <x:c r="G10" s="36"/>
      <x:c r="H10" s="32" t="str">
        <x:f>IF(G10="","",A10*G10)</x:f>
      </x:c>
      <x:c r="I10" s="28" t="str">
        <x:v>Por obtener al confirmar modelo</x:v>
      </x:c>
      <x:c r="J10" t="str">
        <x:v>Planificado; adquisición sin confirmar</x:v>
      </x:c>
      <x:c r="K10" s="103"/>
    </x:row>
    <x:row r="11" ht="43" customHeight="1">
      <x:c r="A11" s="29" t="n">
        <x:v>1</x:v>
      </x:c>
      <x:c r="B11" s="29" t="str">
        <x:v>Pantalla</x:v>
      </x:c>
      <x:c r="C11" s="29" t="str">
        <x:v>Pantalla compatible ESP32; tamaño, bus y modelo por seleccionar</x:v>
      </x:c>
      <x:c r="D11" s="29" t="str">
        <x:v>Por definir</x:v>
      </x:c>
      <x:c r="E11" s="29" t="str">
        <x:v>Por definir</x:v>
      </x:c>
      <x:c r="F11" s="29" t="str">
        <x:v>Pendiente de definir</x:v>
      </x:c>
      <x:c r="G11" s="36"/>
      <x:c r="H11" s="33" t="str">
        <x:f>IF(G11="","",A11*G11)</x:f>
      </x:c>
      <x:c r="I11" s="29" t="str">
        <x:v>Por obtener al seleccionar</x:v>
      </x:c>
      <x:c r="J11" t="str">
        <x:v>Planificado; adquisición sin confirmar</x:v>
      </x:c>
      <x:c r="K11" s="103"/>
    </x:row>
    <x:row r="12" ht="43" customHeight="1">
      <x:c r="A12" s="28" t="n">
        <x:v>1</x:v>
      </x:c>
      <x:c r="B12" s="28" t="str">
        <x:v>LED verde</x:v>
      </x:c>
      <x:c r="C12" s="28" t="str">
        <x:v>Indicador 5 mm o equivalente; verificar tamaño</x:v>
      </x:c>
      <x:c r="D12" s="28" t="str">
        <x:v>Por verificar</x:v>
      </x:c>
      <x:c r="E12" s="28" t="str">
        <x:v>Por verificar</x:v>
      </x:c>
      <x:c r="F12" s="28" t="str">
        <x:v>Universidad Adolfo Ibáñez (aportado)</x:v>
      </x:c>
      <x:c r="G12" s="36"/>
      <x:c r="H12" s="32" t="str">
        <x:f>IF(G12="","",A12*G12)</x:f>
      </x:c>
      <x:c r="I12" s="28" t="str">
        <x:v>No aplica</x:v>
      </x:c>
      <x:c r="J12" t="str">
        <x:v>Aporte en especie UAI</x:v>
      </x:c>
      <x:c r="K12" s="103" t="n">
        <x:v>0</x:v>
      </x:c>
    </x:row>
    <x:row r="13" ht="43" customHeight="1">
      <x:c r="A13" s="29" t="n">
        <x:v>1</x:v>
      </x:c>
      <x:c r="B13" s="29" t="str">
        <x:v>LED amarillo</x:v>
      </x:c>
      <x:c r="C13" s="29" t="str">
        <x:v>Indicador 5 mm o equivalente; verificar tamaño</x:v>
      </x:c>
      <x:c r="D13" s="29" t="str">
        <x:v>Por verificar</x:v>
      </x:c>
      <x:c r="E13" s="29" t="str">
        <x:v>Por verificar</x:v>
      </x:c>
      <x:c r="F13" s="29" t="str">
        <x:v>Universidad Adolfo Ibáñez (aportado)</x:v>
      </x:c>
      <x:c r="G13" s="36"/>
      <x:c r="H13" s="33" t="str">
        <x:f>IF(G13="","",A13*G13)</x:f>
      </x:c>
      <x:c r="I13" s="29" t="str">
        <x:v>No aplica</x:v>
      </x:c>
      <x:c r="J13" t="str">
        <x:v>Aporte en especie UAI</x:v>
      </x:c>
      <x:c r="K13" s="103" t="n">
        <x:v>0</x:v>
      </x:c>
    </x:row>
    <x:row r="14" ht="43" customHeight="1">
      <x:c r="A14" s="28" t="n">
        <x:v>1</x:v>
      </x:c>
      <x:c r="B14" s="28" t="str">
        <x:v>LED rojo</x:v>
      </x:c>
      <x:c r="C14" s="28" t="str">
        <x:v>Indicador 5 mm o equivalente; verificar tamaño</x:v>
      </x:c>
      <x:c r="D14" s="28" t="str">
        <x:v>Por verificar</x:v>
      </x:c>
      <x:c r="E14" s="28" t="str">
        <x:v>Por verificar</x:v>
      </x:c>
      <x:c r="F14" s="28" t="str">
        <x:v>Universidad Adolfo Ibáñez (aportado)</x:v>
      </x:c>
      <x:c r="G14" s="36"/>
      <x:c r="H14" s="32" t="str">
        <x:f>IF(G14="","",A14*G14)</x:f>
      </x:c>
      <x:c r="I14" s="28" t="str">
        <x:v>No aplica</x:v>
      </x:c>
      <x:c r="J14" t="str">
        <x:v>Aporte en especie UAI</x:v>
      </x:c>
      <x:c r="K14" s="103" t="n">
        <x:v>0</x:v>
      </x:c>
    </x:row>
    <x:row r="15" ht="43" customHeight="1">
      <x:c r="A15" s="29" t="n">
        <x:v>1</x:v>
      </x:c>
      <x:c r="B15" s="29" t="str">
        <x:v>Resistencia pull-up</x:v>
      </x:c>
      <x:c r="C15" s="29" t="str">
        <x:v>4,7 kΩ para línea DATA del DS18B20</x:v>
      </x:c>
      <x:c r="D15" s="29" t="str">
        <x:v>Por verificar</x:v>
      </x:c>
      <x:c r="E15" s="29" t="str">
        <x:v>4K7</x:v>
      </x:c>
      <x:c r="F15" s="29" t="str">
        <x:v>Universidad Adolfo Ibáñez (aportado)</x:v>
      </x:c>
      <x:c r="G15" s="36"/>
      <x:c r="H15" s="33" t="str">
        <x:f>IF(G15="","",A15*G15)</x:f>
      </x:c>
      <x:c r="I15" s="29" t="str">
        <x:v>No aplica</x:v>
      </x:c>
      <x:c r="J15" t="str">
        <x:v>Aporte en especie UAI</x:v>
      </x:c>
      <x:c r="K15" s="103" t="n">
        <x:v>0</x:v>
      </x:c>
    </x:row>
    <x:row r="16" ht="43" customHeight="1">
      <x:c r="A16" s="28" t="n">
        <x:v>4</x:v>
      </x:c>
      <x:c r="B16" s="28" t="str">
        <x:v>Resistencias divisores</x:v>
      </x:c>
      <x:c r="C16" s="28" t="str">
        <x:v>10 kΩ, dos por señal: pH y turbidez</x:v>
      </x:c>
      <x:c r="D16" s="28" t="str">
        <x:v>Por verificar</x:v>
      </x:c>
      <x:c r="E16" s="28" t="str">
        <x:v>10K</x:v>
      </x:c>
      <x:c r="F16" s="28" t="str">
        <x:v>Universidad Adolfo Ibáñez (aportado)</x:v>
      </x:c>
      <x:c r="G16" s="36"/>
      <x:c r="H16" s="32" t="str">
        <x:f>IF(G16="","",A16*G16)</x:f>
      </x:c>
      <x:c r="I16" s="28" t="str">
        <x:v>No aplica</x:v>
      </x:c>
      <x:c r="J16" t="str">
        <x:v>Aporte en especie UAI</x:v>
      </x:c>
      <x:c r="K16" s="103" t="n">
        <x:v>0</x:v>
      </x:c>
    </x:row>
    <x:row r="17" ht="43" customHeight="1">
      <x:c r="A17" s="29" t="n">
        <x:v>3</x:v>
      </x:c>
      <x:c r="B17" s="29" t="str">
        <x:v>Resistencias LEDs</x:v>
      </x:c>
      <x:c r="C17" s="29" t="str">
        <x:v>220–330 Ω, una por LED; comprobar valor real</x:v>
      </x:c>
      <x:c r="D17" s="29" t="str">
        <x:v>Por verificar</x:v>
      </x:c>
      <x:c r="E17" s="29" t="str">
        <x:v>220R/330R por verificar</x:v>
      </x:c>
      <x:c r="F17" s="29" t="str">
        <x:v>Universidad Adolfo Ibáñez (aportado)</x:v>
      </x:c>
      <x:c r="G17" s="36"/>
      <x:c r="H17" s="33" t="str">
        <x:f>IF(G17="","",A17*G17)</x:f>
      </x:c>
      <x:c r="I17" s="29" t="str">
        <x:v>No aplica</x:v>
      </x:c>
      <x:c r="J17" t="str">
        <x:v>Aporte en especie UAI</x:v>
      </x:c>
      <x:c r="K17" s="103" t="n">
        <x:v>0</x:v>
      </x:c>
    </x:row>
    <x:row r="18" ht="43" customHeight="1">
      <x:c r="A18" s="28" t="n">
        <x:v>1</x:v>
      </x:c>
      <x:c r="B18" s="28" t="str">
        <x:v>Protoboard</x:v>
      </x:c>
      <x:c r="C18" s="28" t="str">
        <x:v>Placa de pruebas aprox. 60 filas</x:v>
      </x:c>
      <x:c r="D18" s="28" t="str">
        <x:v>Por verificar</x:v>
      </x:c>
      <x:c r="E18" s="28" t="str">
        <x:v>Por verificar</x:v>
      </x:c>
      <x:c r="F18" s="28" t="str">
        <x:v>Universidad Adolfo Ibáñez (aportado)</x:v>
      </x:c>
      <x:c r="G18" s="36"/>
      <x:c r="H18" s="32" t="str">
        <x:f>IF(G18="","",A18*G18)</x:f>
      </x:c>
      <x:c r="I18" s="28" t="str">
        <x:v>No aplica</x:v>
      </x:c>
      <x:c r="J18" t="str">
        <x:v>Aporte en especie UAI</x:v>
      </x:c>
      <x:c r="K18" s="103" t="n">
        <x:v>0</x:v>
      </x:c>
    </x:row>
    <x:row r="19" ht="43" customHeight="1">
      <x:c r="A19" s="29" t="n">
        <x:v>1</x:v>
      </x:c>
      <x:c r="B19" s="29" t="str">
        <x:v>Juego cables Dupont</x:v>
      </x:c>
      <x:c r="C19" s="29" t="str">
        <x:v>Cables de interconexión; cantidad individual por contabilizar</x:v>
      </x:c>
      <x:c r="D19" s="29" t="str">
        <x:v>Por verificar</x:v>
      </x:c>
      <x:c r="E19" s="29" t="str">
        <x:v>Por verificar</x:v>
      </x:c>
      <x:c r="F19" s="29" t="str">
        <x:v>Universidad Adolfo Ibáñez (aportado)</x:v>
      </x:c>
      <x:c r="G19" s="36"/>
      <x:c r="H19" s="33" t="str">
        <x:f>IF(G19="","",A19*G19)</x:f>
      </x:c>
      <x:c r="I19" s="29" t="str">
        <x:v>No aplica</x:v>
      </x:c>
      <x:c r="J19" t="str">
        <x:v>Aporte en especie UAI</x:v>
      </x:c>
      <x:c r="K19" s="103" t="n">
        <x:v>0</x:v>
      </x:c>
    </x:row>
    <x:row r="20" ht="43" customHeight="1">
      <x:c r="A20" s="28" t="n">
        <x:v>1</x:v>
      </x:c>
      <x:c r="B20" s="28" t="str">
        <x:v>Cable USB</x:v>
      </x:c>
      <x:c r="C20" s="28" t="str">
        <x:v>Alimentación/programación del ESP32; conector por confirmar</x:v>
      </x:c>
      <x:c r="D20" s="28" t="str">
        <x:v>Por verificar</x:v>
      </x:c>
      <x:c r="E20" s="28" t="str">
        <x:v>Por verificar</x:v>
      </x:c>
      <x:c r="F20" s="28" t="str">
        <x:v>Universidad Adolfo Ibáñez (aportado)</x:v>
      </x:c>
      <x:c r="G20" s="36"/>
      <x:c r="H20" s="32" t="str">
        <x:f>IF(G20="","",A20*G20)</x:f>
      </x:c>
      <x:c r="I20" s="28" t="str">
        <x:v>No aplica</x:v>
      </x:c>
      <x:c r="J20" t="str">
        <x:v>Aporte en especie UAI</x:v>
      </x:c>
      <x:c r="K20" s="103" t="n">
        <x:v>0</x:v>
      </x:c>
    </x:row>
    <x:row r="21" ht="43" customHeight="1">
      <x:c r="A21" s="29" t="n">
        <x:v>1</x:v>
      </x:c>
      <x:c r="B21" s="29" t="str">
        <x:v>Carcasa portátil</x:v>
      </x:c>
      <x:c r="C21" s="29" t="str">
        <x:v>Encapsulado protegido para uso outdoor; diseño por desarrollar</x:v>
      </x:c>
      <x:c r="D21" s="29" t="str">
        <x:v>Por definir</x:v>
      </x:c>
      <x:c r="E21" s="29" t="str">
        <x:v>Por definir</x:v>
      </x:c>
      <x:c r="F21" s="29" t="str">
        <x:v>Pendiente de definir</x:v>
      </x:c>
      <x:c r="G21" s="36"/>
      <x:c r="H21" s="33" t="str">
        <x:f>IF(G21="","",A21*G21)</x:f>
      </x:c>
      <x:c r="I21" s="29" t="str">
        <x:v>No aplica</x:v>
      </x:c>
      <x:c r="J21" t="str">
        <x:v>Planificado; adquisición sin confirmar</x:v>
      </x:c>
      <x:c r="K21" s="103"/>
    </x:row>
    <x:row r="22" ht="43" customHeight="1">
      <x:c r="A22" s="28" t="n">
        <x:v>1</x:v>
      </x:c>
      <x:c r="B22" s="28" t="str">
        <x:v>Sistema de batería</x:v>
      </x:c>
      <x:c r="C22" s="28" t="str">
        <x:v>Batería recargable y regulación/protección; diseño por evaluar</x:v>
      </x:c>
      <x:c r="D22" s="28" t="str">
        <x:v>Por definir</x:v>
      </x:c>
      <x:c r="E22" s="28" t="str">
        <x:v>Por definir</x:v>
      </x:c>
      <x:c r="F22" s="28" t="str">
        <x:v>Pendiente de definir</x:v>
      </x:c>
      <x:c r="G22" s="36"/>
      <x:c r="H22" s="32" t="str">
        <x:f>IF(G22="","",A22*G22)</x:f>
      </x:c>
      <x:c r="I22" s="28" t="str">
        <x:v>Por obtener al seleccionar</x:v>
      </x:c>
      <x:c r="J22" t="str">
        <x:v>Planificado; adquisición sin confirmar</x:v>
      </x:c>
      <x:c r="K22" s="103"/>
    </x:row>
    <x:row r="23" ht="44" customHeight="1">
      <x:c r="A23" s="28" t="n">
        <x:v>1</x:v>
      </x:c>
      <x:c r="B23" s="28" t="str">
        <x:v>Kit básico de electrónica (compatible Arduino Uno R3)</x:v>
      </x:c>
      <x:c r="C23" s="28" t="str">
        <x:v>Kit descrito así en boleta. Contenido no desglosado; NO asumir que incluye ESP32.</x:v>
      </x:c>
      <x:c r="D23" s="28" t="str">
        <x:v>No indicado</x:v>
      </x:c>
      <x:c r="E23" s="28" t="str">
        <x:v>No indicado en boleta</x:v>
      </x:c>
      <x:c r="F23" s="28" t="str">
        <x:v>Mercado Libre / AITEYOUPIN SPA</x:v>
      </x:c>
      <x:c r="G23" s="28" t="n">
        <x:v>18949</x:v>
      </x:c>
      <x:c r="H23" s="28" t="n">
        <x:f>A23*G23</x:f>
        <x:v>18949</x:v>
      </x:c>
      <x:c r="I23" s="28" t="str">
        <x:v>Ficha de componentes por confirmar</x:v>
      </x:c>
      <x:c r="J23" s="28" t="str">
        <x:v>Compra propia — 21/10/2026</x:v>
      </x:c>
      <x:c r="K23" s="104" t="n">
        <x:f>H23</x:f>
        <x:v>18949</x:v>
      </x:c>
    </x:row>
    <x:row r="24" ht="30" customHeight="1">
      <x:c r="A24" s="40" t="str">
        <x:v>TOTAL REGISTRADO (PARCIAL; si hay precios pendientes NO es presupuesto final)</x:v>
      </x:c>
      <x:c r="B24" s="40"/>
      <x:c r="C24" s="40"/>
      <x:c r="D24" s="40"/>
      <x:c r="E24" s="40"/>
      <x:c r="F24" s="40"/>
      <x:c r="G24" s="40" t="str">
        <x:v>Ítems con precio</x:v>
      </x:c>
      <x:c r="H24" s="109" t="n">
        <x:f>SUM(H6:H23)</x:f>
        <x:v>57919</x:v>
      </x:c>
      <x:c r="I24" s="110" t="n">
        <x:f>COUNT(G6:G23)</x:f>
        <x:v>4</x:v>
      </x:c>
      <x:c r="J24" s="111" t="str">
        <x:v>Desembolso verificado</x:v>
      </x:c>
      <x:c r="K24" s="112" t="n">
        <x:f>SUM(K6:K23)</x:f>
        <x:v>57919</x:v>
      </x:c>
    </x:row>
    <x:row r="26" ht="26" customHeight="1">
      <x:c r="A26" s="61" t="str">
        <x:v>Compras registradas: sensores MechatronicStore ($38.970) + kit básico electrónica Mercado Libre ($18.949, con envío e IVA).</x:v>
      </x:c>
      <x:c r="B26" s="61"/>
      <x:c r="C26" s="61"/>
      <x:c r="D26" s="61"/>
      <x:c r="E26" s="61"/>
      <x:c r="F26" s="61"/>
      <x:c r="G26" s="61"/>
      <x:c r="H26" s="61"/>
      <x:c r="I26" s="61"/>
    </x:row>
    <x:row r="27" ht="26" customHeight="1">
      <x:c r="A27" s="71" t="str">
        <x:v>Aportes UAI: componentes utilizados, sin costo para el equipo (valor comercial NO informado; no son materiales de valor cero).</x:v>
      </x:c>
      <x:c r="B27" s="71"/>
      <x:c r="C27" s="71"/>
      <x:c r="D27" s="71"/>
      <x:c r="E27" s="71"/>
      <x:c r="F27" s="71"/>
      <x:c r="G27" s="71"/>
      <x:c r="H27" s="71"/>
      <x:c r="I27" s="71"/>
    </x:row>
    <x:row r="28" ht="26" customHeight="1">
      <x:c r="A28" s="72" t="str">
        <x:v>El kit no tiene contenido desglosado en su boleta. Confirmar materiales utilizados para evitar doble conteo en el inventario.</x:v>
      </x:c>
      <x:c r="B28" s="72"/>
      <x:c r="C28" s="72"/>
      <x:c r="D28" s="72"/>
      <x:c r="E28" s="72"/>
      <x:c r="F28" s="72"/>
      <x:c r="G28" s="72"/>
      <x:c r="H28" s="72"/>
      <x:c r="I28" s="72"/>
    </x:row>
  </x:sheetData>
  <x:mergeCells>
    <x:mergeCell ref="A1:I1"/>
    <x:mergeCell ref="A2:I2"/>
    <x:mergeCell ref="A3:I3"/>
    <x:mergeCell ref="A24:F24"/>
    <x:mergeCell ref="A26:I26"/>
    <x:mergeCell ref="A27:I27"/>
    <x:mergeCell ref="A28:I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99" hidden="0" customWidth="1"/>
  </x:cols>
  <x:sheetData>
    <x:row r="1" ht="31" customHeight="1">
      <x:c r="A1" s="50" t="str">
        <x:v>GUÍA DE COMPLETADO | AquaSafe BOM</x:v>
      </x:c>
      <x:c r="B1" s="50"/>
      <x:c r="C1" s="50"/>
      <x:c r="D1" s="50"/>
      <x:c r="E1" s="50"/>
      <x:c r="F1" s="50"/>
    </x:row>
    <x:row r="3" ht="43" customHeight="1">
      <x:c r="A3" s="54" t="str">
        <x:v>1</x:v>
      </x:c>
      <x:c r="B3" s="52" t="str">
        <x:v>Qué pide el profesor</x:v>
      </x:c>
      <x:c r="C3" s="28" t="str">
        <x:v>bom_completo.xlsx y bom_completo.pdf; fichas técnicas PDF de componentes críticos en datasheets/.</x:v>
      </x:c>
    </x:row>
    <x:row r="4" ht="43" customHeight="1">
      <x:c r="A4" s="54" t="str">
        <x:v>2</x:v>
      </x:c>
      <x:c r="B4" s="52" t="str">
        <x:v>Precio unitario</x:v>
      </x:c>
      <x:c r="C4" s="28" t="str">
        <x:v>Ingresa números en pesos chilenos (ej.: 8990); no escribas el símbolo $ dentro de la celda.</x:v>
      </x:c>
    </x:row>
    <x:row r="5" ht="43" customHeight="1">
      <x:c r="A5" s="54" t="str">
        <x:v>3</x:v>
      </x:c>
      <x:c r="B5" s="52" t="str">
        <x:v>Precio total</x:v>
      </x:c>
      <x:c r="C5" s="28" t="str">
        <x:v>La columna H calcula automáticamente Cantidad × Precio Unitario.</x:v>
      </x:c>
    </x:row>
    <x:row r="6" ht="43" customHeight="1">
      <x:c r="A6" s="54" t="str">
        <x:v>4</x:v>
      </x:c>
      <x:c r="B6" s="52" t="str">
        <x:v>Proveedores y SKU</x:v>
      </x:c>
      <x:c r="C6" s="28" t="str">
        <x:v>Usa el proveedor real (boleta/cotización) y el modelo específico que compraron; no adivines.</x:v>
      </x:c>
    </x:row>
    <x:row r="7" ht="43" customHeight="1">
      <x:c r="A7" s="54" t="str">
        <x:v>5</x:v>
      </x:c>
      <x:c r="B7" s="52" t="str">
        <x:v>Pantalla y TDS</x:v>
      </x:c>
      <x:c r="C7" s="28" t="str">
        <x:v>Permanece pendiente hasta que se defina el modelo y se confirme la compra.</x:v>
      </x:c>
    </x:row>
    <x:row r="8" ht="43" customHeight="1">
      <x:c r="A8" s="54" t="str">
        <x:v>6</x:v>
      </x:c>
      <x:c r="B8" s="52" t="str">
        <x:v>Datos de fabricación</x:v>
      </x:c>
      <x:c r="C8" s="28" t="str">
        <x:v>En el chip ESP32/DS18B20 la marca del chip no implica la marca del módulo completo.</x:v>
      </x:c>
    </x:row>
    <x:row r="9" ht="43" customHeight="1">
      <x:c r="A9" s="54" t="str">
        <x:v>7</x:v>
      </x:c>
      <x:c r="B9" s="52" t="str">
        <x:v>PDF</x:v>
      </x:c>
      <x:c r="C9" s="28" t="str">
        <x:v>PDF preliminar de la misma BOM. Una vez ingresados los precios en Excel, actualizar y exportar el PDF nuevamente.</x:v>
      </x:c>
    </x:row>
    <x:row r="10" ht="43" customHeight="1">
      <x:c r="A10" s="54" t="str">
        <x:v>8</x:v>
      </x:c>
      <x:c r="B10" s="52" t="str">
        <x:v>Datasheets</x:v>
      </x:c>
      <x:c r="C10" s="28" t="str">
        <x:v>Se incluyen enlaces oficiales para ESP32 y DS18B20. Faltan las fichas de módulos sin fabricante exacto.</x:v>
      </x:c>
    </x:row>
    <x:row r="12" ht="23" customHeight="1">
      <x:c r="A12" s="56" t="str">
        <x:v>Notas y fuentes técnicas</x:v>
      </x:c>
      <x:c r="B12" s="56"/>
      <x:c r="C12" s="56"/>
    </x:row>
    <x:row r="13" ht="31" customHeight="1">
      <x:c r="A13" s="28" t="str">
        <x:v>ESP32</x:v>
      </x:c>
      <x:c r="B13" s="28" t="str">
        <x:v>Espressif</x:v>
      </x:c>
      <x:c r="C13" s="28" t="str">
        <x:v>https://documentation.espressif.com/esp32-wroom-32_datasheet_en.html</x:v>
      </x:c>
    </x:row>
    <x:row r="14" ht="31" customHeight="1">
      <x:c r="A14" s="28" t="str">
        <x:v>DS18B20</x:v>
      </x:c>
      <x:c r="B14" s="28" t="str">
        <x:v>Analog Devices</x:v>
      </x:c>
      <x:c r="C14" s="28" t="str">
        <x:v>https://www.analog.com/media/en/technical-documentation/data-sheets/ds18b20.pdf</x:v>
      </x:c>
    </x:row>
    <x:row r="15" ht="34" customHeight="1">
      <x:c r="A15" s="28" t="str">
        <x:v>Otros módulos</x:v>
      </x:c>
      <x:c r="B15" s="28" t="str">
        <x:v>Aporte UAI y kit adicional</x:v>
      </x:c>
      <x:c r="C15" s="28" t="str">
        <x:v>UAI facilitó componentes restantes del montaje; el kit básico comprado en Mercado Libre se registra por separado y no se equipara a la placa ESP32.</x:v>
      </x:c>
    </x:row>
    <x:row r="16" ht="34" customHeight="1">
      <x:c r="B16" t="str">
        <x:v>Comprobantes y privacidad</x:v>
      </x:c>
      <x:c r="C16" s="28" t="str">
        <x:v>No publicar las boletas completas en GitHub: contienen datos personales. Guardar respaldo privado.</x:v>
      </x:c>
    </x:row>
    <x:row r="17">
      <x:c r="B17" t="str">
        <x:v>Costo acreditado</x:v>
      </x:c>
      <x:c r="C17" t="str">
        <x:v>$57.919 CLP: $38.970 sensores y $18.949 kit electrónico (incluye IVA y despacho). Sin valorar materiales UAI y sin compras futuras.</x:v>
      </x:c>
    </x:row>
  </x:sheetData>
  <x:mergeCells>
    <x:mergeCell ref="A1:F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3" hidden="0" customWidth="1"/>
    <x:col min="4" max="4" width="24" hidden="0" customWidth="1"/>
    <x:col min="5" max="5" width="23" hidden="0" customWidth="1"/>
    <x:col min="6" max="6" width="30" hidden="0" customWidth="1"/>
    <x:col min="7" max="7" width="17" hidden="0" customWidth="1"/>
    <x:col min="8" max="8" width="38" hidden="0" customWidth="1"/>
  </x:cols>
  <x:sheetData>
    <x:row r="1" ht="40" customHeight="1">
      <x:c r="A1" s="75" t="str">
        <x:v>AQUASAFE  |  COMPRA DOCUMENTADA</x:v>
      </x:c>
      <x:c r="B1" s="75"/>
      <x:c r="C1" s="75"/>
      <x:c r="D1" s="75"/>
      <x:c r="E1" s="75"/>
      <x:c r="F1" s="75"/>
      <x:c r="G1" s="75"/>
      <x:c r="H1" s="75"/>
    </x:row>
    <x:row r="2" ht="31" customHeight="1">
      <x:c r="A2" s="78" t="str">
        <x:v>Fuente: Boleta electrónica N° 14042 | MechatronicStore SpA | Curicó | 16 de octubre de 2026</x:v>
      </x:c>
      <x:c r="B2" s="78"/>
      <x:c r="C2" s="78"/>
      <x:c r="D2" s="78"/>
      <x:c r="E2" s="78"/>
      <x:c r="F2" s="78"/>
      <x:c r="G2" s="78"/>
      <x:c r="H2" s="78"/>
    </x:row>
    <x:row r="4" ht="33" customHeight="1">
      <x:c r="A4" s="82" t="str">
        <x:v>SKU (tienda)</x:v>
      </x:c>
      <x:c r="B4" s="82" t="str">
        <x:v>Ítem de la boleta</x:v>
      </x:c>
      <x:c r="C4" s="82" t="str">
        <x:v>Cantidad</x:v>
      </x:c>
      <x:c r="D4" s="82" t="str">
        <x:v>Precio unitario (CLP)</x:v>
      </x:c>
      <x:c r="E4" s="82" t="str">
        <x:v>Precio total (CLP)</x:v>
      </x:c>
      <x:c r="F4" s="82" t="str">
        <x:v>Proveedor</x:v>
      </x:c>
      <x:c r="G4" s="82" t="str">
        <x:v>Fecha</x:v>
      </x:c>
      <x:c r="H4" s="82" t="str">
        <x:v>Observación</x:v>
      </x:c>
    </x:row>
    <x:row r="5" ht="38" customHeight="1">
      <x:c r="A5" s="88" t="str">
        <x:v>G-006</x:v>
      </x:c>
      <x:c r="B5" s="88" t="str">
        <x:v>Kit módulo sensor de pH + electrodo BNC</x:v>
      </x:c>
      <x:c r="C5" s="88" t="n">
        <x:v>1</x:v>
      </x:c>
      <x:c r="D5" s="89" t="n">
        <x:v>24990</x:v>
      </x:c>
      <x:c r="E5" s="89" t="n">
        <x:f>C5*D5</x:f>
        <x:v>24990</x:v>
      </x:c>
      <x:c r="F5" s="88" t="str">
        <x:v>MechatronicStore SpA</x:v>
      </x:c>
      <x:c r="G5" s="88" t="str">
        <x:v>16/10/2026</x:v>
      </x:c>
      <x:c r="H5" s="88" t="str">
        <x:v>Modelo/fabricante módulo por verificar</x:v>
      </x:c>
    </x:row>
    <x:row r="6" ht="38" customHeight="1">
      <x:c r="A6" s="88" t="str">
        <x:v>G-008</x:v>
      </x:c>
      <x:c r="B6" s="88" t="str">
        <x:v>Kit sensor detección de turbidez 3,3–5 V</x:v>
      </x:c>
      <x:c r="C6" s="88" t="n">
        <x:v>1</x:v>
      </x:c>
      <x:c r="D6" s="89" t="n">
        <x:v>10990</x:v>
      </x:c>
      <x:c r="E6" s="89" t="n">
        <x:f>C6*D6</x:f>
        <x:v>10990</x:v>
      </x:c>
      <x:c r="F6" s="88" t="str">
        <x:v>MechatronicStore SpA</x:v>
      </x:c>
      <x:c r="G6" s="88" t="str">
        <x:v>16/10/2026</x:v>
      </x:c>
      <x:c r="H6" s="88" t="str">
        <x:v>Modelo/fabricante módulo por verificar</x:v>
      </x:c>
    </x:row>
    <x:row r="7" ht="38" customHeight="1">
      <x:c r="A7" s="88" t="str">
        <x:v>G-232</x:v>
      </x:c>
      <x:c r="B7" s="88" t="str">
        <x:v>Sensor temperatura DS18B20 sumergible</x:v>
      </x:c>
      <x:c r="C7" s="88" t="n">
        <x:v>1</x:v>
      </x:c>
      <x:c r="D7" s="89" t="n">
        <x:v>2990</x:v>
      </x:c>
      <x:c r="E7" s="89" t="n">
        <x:f>C7*D7</x:f>
        <x:v>2990</x:v>
      </x:c>
      <x:c r="F7" s="88" t="str">
        <x:v>MechatronicStore SpA</x:v>
      </x:c>
      <x:c r="G7" s="88" t="str">
        <x:v>16/10/2026</x:v>
      </x:c>
      <x:c r="H7" s="88" t="str">
        <x:v>Componente identificado en boleta</x:v>
      </x:c>
    </x:row>
    <x:row r="8" ht="30" customHeight="1">
      <x:c r="A8" s="94" t="str">
        <x:v>TOTAL ACREDITADO (IVA INCLUIDO)</x:v>
      </x:c>
      <x:c r="B8" s="94"/>
      <x:c r="C8" s="94"/>
      <x:c r="D8" s="95"/>
      <x:c r="E8" s="95" t="n">
        <x:f>SUM(E5:E7)</x:f>
        <x:v>38970</x:v>
      </x:c>
      <x:c r="F8" s="94"/>
      <x:c r="G8" s="94"/>
      <x:c r="H8" s="94"/>
    </x:row>
    <x:row r="10" ht="30" customHeight="1">
      <x:c r="A10" s="98" t="str">
        <x:v>No se adjunta la boleta al repositorio público. Conservarla como respaldo del equipo.</x:v>
      </x:c>
      <x:c r="B10" s="98"/>
      <x:c r="C10" s="98"/>
      <x:c r="D10" s="98"/>
      <x:c r="E10" s="98"/>
      <x:c r="F10" s="98"/>
      <x:c r="G10" s="98"/>
      <x:c r="H10" s="98"/>
    </x:row>
    <x:row r="11" ht="30" customHeight="1">
      <x:c r="A11" s="98" t="str">
        <x:v>Los demás componentes siguen sin precio real registrado. El subtotal no es el costo final de AquaSafe.</x:v>
      </x:c>
      <x:c r="B11" s="98"/>
      <x:c r="C11" s="98"/>
      <x:c r="D11" s="98"/>
      <x:c r="E11" s="98"/>
      <x:c r="F11" s="98"/>
      <x:c r="G11" s="98"/>
      <x:c r="H11" s="98"/>
    </x:row>
  </x:sheetData>
  <x:mergeCells>
    <x:mergeCell ref="A1:H1"/>
    <x:mergeCell ref="A2:H2"/>
    <x:mergeCell ref="A8:D8"/>
    <x:mergeCell ref="A10:H10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68" hidden="0" customWidth="1"/>
  </x:cols>
  <x:sheetData>
    <x:row r="1" ht="32" customHeight="1">
      <x:c r="A1" s="114" t="str">
        <x:v>AQUASAFE | KIT ELECTRÓNICA - COMPRA DOCUMENTADA</x:v>
      </x:c>
      <x:c r="B1" s="114"/>
      <x:c r="C1" s="114"/>
      <x:c r="D1" s="114"/>
      <x:c r="E1" s="114"/>
      <x:c r="F1" s="114"/>
      <x:c r="G1" s="114"/>
      <x:c r="H1" s="114"/>
    </x:row>
    <x:row r="3">
      <x:c r="A3" s="115" t="str">
        <x:v>Comprobante</x:v>
      </x:c>
      <x:c r="B3" t="str">
        <x:v>Boleta electrónica Mercado Libre 154440540</x:v>
      </x:c>
    </x:row>
    <x:row r="4">
      <x:c r="A4" s="115" t="str">
        <x:v>Fecha</x:v>
      </x:c>
      <x:c r="B4" t="str">
        <x:v>21/10/2026</x:v>
      </x:c>
    </x:row>
    <x:row r="5">
      <x:c r="A5" s="115" t="str">
        <x:v>Vendedor indicado</x:v>
      </x:c>
      <x:c r="B5" t="str">
        <x:v>AITEYOUPIN SPA (por Mercado Libre Chile)</x:v>
      </x:c>
    </x:row>
    <x:row r="6">
      <x:c r="A6" s="115" t="str">
        <x:v>Artículo</x:v>
      </x:c>
      <x:c r="B6" s="28" t="str">
        <x:v>Básico Kit De Electrónica Compatible Arduino Uno R3 Placa</x:v>
      </x:c>
    </x:row>
    <x:row r="7">
      <x:c r="A7" s="115" t="str">
        <x:v>Cantidad</x:v>
      </x:c>
      <x:c r="B7" s="28" t="n">
        <x:v>1</x:v>
      </x:c>
    </x:row>
    <x:row r="8">
      <x:c r="A8" s="115" t="str">
        <x:v>Precio línea kit (según boleta, antes de IVA)</x:v>
      </x:c>
      <x:c r="B8" s="120" t="n">
        <x:v>12571</x:v>
      </x:c>
    </x:row>
    <x:row r="9">
      <x:c r="A9" s="115" t="str">
        <x:v>Envío (según boleta, antes de IVA)</x:v>
      </x:c>
      <x:c r="B9" s="120" t="n">
        <x:v>3352</x:v>
      </x:c>
    </x:row>
    <x:row r="10">
      <x:c r="A10" s="115" t="str">
        <x:v>IVA total</x:v>
      </x:c>
      <x:c r="B10" s="120" t="n">
        <x:v>3025</x:v>
      </x:c>
    </x:row>
    <x:row r="11" ht="29" customHeight="1">
      <x:c r="A11" s="118" t="str">
        <x:v>TOTAL PAGADO (BOLETA)</x:v>
      </x:c>
      <x:c r="B11" s="121" t="n">
        <x:v>18949</x:v>
      </x:c>
    </x:row>
    <x:row r="13">
      <x:c r="A13" t="str">
        <x:v>Nota: los importes de las líneas y el IVA se muestran tal como constan en la boleta.</x:v>
      </x:c>
    </x:row>
    <x:row r="14">
      <x:c r="A14" t="str">
        <x:v>No se identifican los componentes individuales del kit; no confundirlo con ESP32.</x:v>
      </x:c>
    </x:row>
    <x:row r="15">
      <x:c r="A15" t="str">
        <x:v>Registrar el kit como una compra separada hasta confirmar qué piezas se usaron en AquaSafe.</x:v>
      </x:c>
    </x:row>
    <x:row r="17">
      <x:c r="A17" t="str">
        <x:v>La copia de la boleta conserva información personal; NO publicar el PDF en GitHub público.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48" hidden="0" customWidth="1"/>
    <x:col min="3" max="3" width="92" hidden="0" customWidth="1"/>
  </x:cols>
  <x:sheetData>
    <x:row r="1" ht="32" customHeight="1">
      <x:c r="A1" s="114" t="str">
        <x:v>AQUASAFE | ORIGEN Y FINANCIAMIENTO</x:v>
      </x:c>
      <x:c r="B1" s="114"/>
      <x:c r="C1" s="114"/>
      <x:c r="D1" s="114"/>
      <x:c r="E1" s="114"/>
      <x:c r="F1" s="114"/>
    </x:row>
    <x:row r="3">
      <x:c r="A3" s="123" t="str">
        <x:v>Tipo de material</x:v>
      </x:c>
      <x:c r="B3" s="123" t="str">
        <x:v>Responsable / origen</x:v>
      </x:c>
      <x:c r="C3" s="123" t="str">
        <x:v>Criterio de valorización</x:v>
      </x:c>
    </x:row>
    <x:row r="4" ht="48" customHeight="1">
      <x:c r="A4" s="28" t="str">
        <x:v>ESP32, LEDs, resistencias, protoboard, cables</x:v>
      </x:c>
      <x:c r="B4" s="28" t="str">
        <x:v>UAI (según información del equipo)</x:v>
      </x:c>
      <x:c r="C4" s="28" t="str">
        <x:v>Entregados por la universidad; costo desembolsado por el equipo $0. Valor comercial no documentado.</x:v>
      </x:c>
    </x:row>
    <x:row r="5" ht="48" customHeight="1">
      <x:c r="A5" s="28" t="str">
        <x:v>Kit pH + sonda BNC</x:v>
      </x:c>
      <x:c r="B5" s="28" t="str">
        <x:v>Compra documentada MechatronicStore</x:v>
      </x:c>
      <x:c r="C5" s="28" t="str">
        <x:v>$24.990 CLP, boleta 16/10/2026</x:v>
      </x:c>
    </x:row>
    <x:row r="6" ht="48" customHeight="1">
      <x:c r="A6" s="28" t="str">
        <x:v>Kit turbidez y DS18B20</x:v>
      </x:c>
      <x:c r="B6" s="28" t="str">
        <x:v>Compra documentada MechatronicStore</x:v>
      </x:c>
      <x:c r="C6" s="28" t="str">
        <x:v>$13.980 CLP, boleta 16/10/2026</x:v>
      </x:c>
    </x:row>
    <x:row r="7" ht="48" customHeight="1">
      <x:c r="A7" s="28" t="str">
        <x:v>Kit electrónica compatible Arduino Uno R3</x:v>
      </x:c>
      <x:c r="B7" s="28" t="str">
        <x:v>Compra documentada Mercado Libre</x:v>
      </x:c>
      <x:c r="C7" s="28" t="str">
        <x:v>$18.949 CLP total con despacho e IVA, boleta 21/10/2026; contenido sin detallar</x:v>
      </x:c>
    </x:row>
    <x:row r="8" ht="48" customHeight="1">
      <x:c r="A8" s="28" t="str">
        <x:v>TDS, pantalla, batería, carcasa</x:v>
      </x:c>
      <x:c r="B8" s="28" t="str">
        <x:v>Por definir / no verificado</x:v>
      </x:c>
      <x:c r="C8" s="28" t="str">
        <x:v>No se asignan costos sin compra/cotización ni confirmación de aporte</x:v>
      </x:c>
    </x:row>
    <x:row r="10">
      <x:c r="A10" t="str">
        <x:v>Compras verificadas - sensores (CLP)</x:v>
      </x:c>
      <x:c r="B10" s="124" t="n">
        <x:v>38970</x:v>
      </x:c>
    </x:row>
    <x:row r="11">
      <x:c r="A11" t="str">
        <x:v>Compra kit electrónica con envío (CLP)</x:v>
      </x:c>
      <x:c r="B11" s="124" t="n">
        <x:v>18949</x:v>
      </x:c>
    </x:row>
    <x:row r="12">
      <x:c r="A12" s="111" t="str">
        <x:v>Total compras documentadas (CLP)</x:v>
      </x:c>
      <x:c r="B12" s="125" t="n">
        <x:f>SUM(B10:B11)</x:f>
        <x:v>57919</x:v>
      </x:c>
    </x:row>
    <x:row r="13">
      <x:c r="A13" t="str">
        <x:v>Costo comercial materiales aportados UAI</x:v>
      </x:c>
      <x:c r="B13" t="str">
        <x:v>Desconocido (no equivale a $0)</x:v>
      </x:c>
    </x:row>
  </x:sheetData>
  <x:mergeCells>
    <x:mergeCell ref="A1:F1"/>
  </x:mergeCells>
  <x:pageMargins left="0.7" right="0.7" top="0.75" bottom="0.75" header="0.3" footer="0.3"/>
</x:worksheet>
</file>